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 tabRatio="720" activeTab="5"/>
  </bookViews>
  <sheets>
    <sheet name="Executive Summary" sheetId="1" r:id="rId1"/>
    <sheet name="Monthly Revenue" sheetId="2" r:id="rId2"/>
    <sheet name="Top Categories" sheetId="3" r:id="rId3"/>
    <sheet name="Churn Analysis" sheetId="4" r:id="rId4"/>
    <sheet name="Payment Methods" sheetId="5" r:id="rId5"/>
    <sheet name="Delivery Performance" sheetId="6" r:id="rId6"/>
  </sheets>
  <calcPr calcId="0"/>
</workbook>
</file>

<file path=xl/sharedStrings.xml><?xml version="1.0" encoding="utf-8"?>
<sst xmlns="http://schemas.openxmlformats.org/spreadsheetml/2006/main" count="131" uniqueCount="109">
  <si>
    <t>OLIST E-COMMERCE — FINANCIAL OPERATIONS ANALYSIS</t>
  </si>
  <si>
    <t>Metric</t>
  </si>
  <si>
    <t>Value</t>
  </si>
  <si>
    <t>Total Orders</t>
  </si>
  <si>
    <t>Total Customers</t>
  </si>
  <si>
    <t>Total Revenue</t>
  </si>
  <si>
    <t>Avg Order Value</t>
  </si>
  <si>
    <t>Churn Rate</t>
  </si>
  <si>
    <t>97%</t>
  </si>
  <si>
    <t>On Time Delivery</t>
  </si>
  <si>
    <t>92%</t>
  </si>
  <si>
    <t>Top State</t>
  </si>
  <si>
    <t>SP</t>
  </si>
  <si>
    <t>Top Category</t>
  </si>
  <si>
    <t>Health &amp; Beauty</t>
  </si>
  <si>
    <t>Monthly Revenue Trend Analysis — Olist E-Commerce (2016–2018)</t>
  </si>
  <si>
    <t>Month</t>
  </si>
  <si>
    <t>Orders Placed</t>
  </si>
  <si>
    <t>Revenue (USD)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</si>
  <si>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</si>
  <si>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</si>
  <si>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</si>
  <si>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</si>
  <si>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</si>
  <si>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</si>
  <si>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</si>
  <si>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</si>
  <si>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</si>
  <si>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</si>
  <si>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</si>
  <si>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</si>
  <si>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</si>
  <si>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</si>
  <si>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</si>
  <si>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</si>
  <si>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</si>
  <si>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</si>
  <si>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</si>
  <si>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</si>
  <si>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</si>
  <si>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</si>
  <si>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Key Insights</t>
  </si>
  <si>
    <t>Peak Revenue</t>
  </si>
  <si>
    <t>$1,153,528</t>
  </si>
  <si>
    <t>November 2017</t>
  </si>
  <si>
    <t>$15,422,462</t>
  </si>
  <si>
    <t>All time</t>
  </si>
  <si>
    <t>Growth</t>
  </si>
  <si>
    <t>25x</t>
  </si>
  <si>
    <t>Oct 2016 → Nov 2017</t>
  </si>
  <si>
    <t>Top 10 Product Categories by Revenue — Olist E-Commerce</t>
  </si>
  <si>
    <t>Category</t>
  </si>
  <si>
    <t>Total Revenue (USD)</t>
  </si>
  <si>
    <t>Avg Selling Price</t>
  </si>
  <si>
    <t>Watches &amp; Gifts</t>
  </si>
  <si>
    <t>Bed Bath &amp; Table</t>
  </si>
  <si>
    <t>Sports &amp; Leisure</t>
  </si>
  <si>
    <t>Computers &amp; Accessories</t>
  </si>
  <si>
    <t>Furniture &amp; Decor</t>
  </si>
  <si>
    <t>Garden Tools</t>
  </si>
  <si>
    <t>Auto</t>
  </si>
  <si>
    <t>Cool Stuff</t>
  </si>
  <si>
    <t>Housewares</t>
  </si>
  <si>
    <t>$1.27M revenue</t>
  </si>
  <si>
    <t>Top by Avg Price</t>
  </si>
  <si>
    <t>$200.84 avg</t>
  </si>
  <si>
    <t>Most Orders</t>
  </si>
  <si>
    <t>11,115 orders</t>
  </si>
  <si>
    <t>Customer Churn Analysis — Olist E-Commerce</t>
  </si>
  <si>
    <t>Customer Type</t>
  </si>
  <si>
    <t>Customer Count</t>
  </si>
  <si>
    <t>Percentage</t>
  </si>
  <si>
    <t>One-time Buyer</t>
  </si>
  <si>
    <t>97.1%</t>
  </si>
  <si>
    <t>Repeat Buyer</t>
  </si>
  <si>
    <t>2.9%</t>
  </si>
  <si>
    <t>Customers who bought only once</t>
  </si>
  <si>
    <t>Retention Rate</t>
  </si>
  <si>
    <t>Repeat buyers</t>
  </si>
  <si>
    <t>Implication</t>
  </si>
  <si>
    <t>High churn</t>
  </si>
  <si>
    <t>Focus on loyalty programs</t>
  </si>
  <si>
    <t>Revenue by Payment Method — Olist E-Commerce</t>
  </si>
  <si>
    <t>Payment Type</t>
  </si>
  <si>
    <t>Transactions</t>
  </si>
  <si>
    <t>Avg Transaction Value</t>
  </si>
  <si>
    <t>Credit Card</t>
  </si>
  <si>
    <t>Boleto</t>
  </si>
  <si>
    <t>Voucher</t>
  </si>
  <si>
    <t>Debit Card</t>
  </si>
  <si>
    <t>Dominant Method</t>
  </si>
  <si>
    <t>76% of all transactions</t>
  </si>
  <si>
    <t>Avg Credit Card</t>
  </si>
  <si>
    <t>$163.31</t>
  </si>
  <si>
    <t>Highest avg transaction</t>
  </si>
  <si>
    <t>Lowest Avg</t>
  </si>
  <si>
    <t>$65.72 avg transaction</t>
  </si>
  <si>
    <t>Delivery Performance Analysis — Olist E-Commerce</t>
  </si>
  <si>
    <t>Delivery Status</t>
  </si>
  <si>
    <t>On Time</t>
  </si>
  <si>
    <t>91.9%</t>
  </si>
  <si>
    <t>Late</t>
  </si>
  <si>
    <t>8.1%</t>
  </si>
  <si>
    <t>On-Time Rate</t>
  </si>
  <si>
    <t>88,649 orders delivered on time</t>
  </si>
  <si>
    <t>Late Deliveries</t>
  </si>
  <si>
    <t>7,828 orders delivered late</t>
  </si>
  <si>
    <t>Strong logistics</t>
  </si>
  <si>
    <t>Room to improve late deliveries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</si>
</sst>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"/>
  </numFmts>
  <fonts count="12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b/>
      <sz val="11"/>
      <color rgb="FFFFFFFF"/>
      <name val="Arial"/>
      <family val="2"/>
    </font>
    <font>
      <sz val="10"/>
      <color rgb="FF404040"/>
      <name val="Arial"/>
      <family val="2"/>
    </font>
    <font>
      <b/>
      <sz val="10"/>
      <color rgb="FF1F3864"/>
      <name val="Arial"/>
      <family val="2"/>
    </font>
    <font>
      <sz val="10"/>
      <color rgb="FF808080"/>
      <name val="Arial"/>
      <family val="2"/>
    </font>
    <font>
      <b/>
      <sz val="11"/>
      <color rgb="FF1F3864"/>
      <name val="Arial"/>
      <family val="2"/>
    </font>
    <font>
      <b/>
      <sz val="11"/>
      <color rgb="FFC55A11"/>
      <name val="Arial"/>
      <family val="2"/>
    </font>
    <font>
      <b/>
      <sz val="11"/>
      <color rgb="FF375623"/>
      <name val="Arial"/>
      <family val="2"/>
    </font>
    <font>
      <b/>
      <sz val="16"/>
      <color rgb="FF1F3864"/>
      <name val="Arial"/>
      <family val="2"/>
    </font>
    <font>
      <b/>
      <sz val="18"/>
      <color rgb="FF1F3864"/>
      <name val="Arial"/>
      <family val="2"/>
    </font>
    <font>
      <b/>
      <sz val="12"/>
      <color rgb="FF1F386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3" fontId="4" fillId="3" borderId="1" xfId="0" applyNumberFormat="1" applyFont="1" applyFill="1" applyBorder="1" applyAlignment="1">
      <alignment horizontal="right"/>
    </xf>
    <xf numFmtId="0" fontId="3" fillId="4" borderId="1" xfId="0" applyFont="1" applyFill="1" applyBorder="1"/>
    <xf numFmtId="3" fontId="4" fillId="4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49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49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49" fontId="4" fillId="5" borderId="1" xfId="0" applyNumberFormat="1" applyFont="1" applyFill="1" applyBorder="1" applyAlignment="1">
      <alignment horizontal="left"/>
    </xf>
    <xf numFmtId="3" fontId="4" fillId="5" borderId="1" xfId="0" applyNumberFormat="1" applyFont="1" applyFill="1" applyBorder="1" applyAlignment="1">
      <alignment horizontal="right"/>
    </xf>
    <xf numFmtId="164" fontId="4" fillId="5" borderId="1" xfId="0" applyNumberFormat="1" applyFont="1" applyFill="1" applyBorder="1" applyAlignment="1">
      <alignment horizontal="right"/>
    </xf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0" fillId="0" borderId="2" xfId="0" applyBorder="1"/>
    <xf numFmtId="0" fontId="7" fillId="6" borderId="1" xfId="0" applyFont="1" applyFill="1" applyBorder="1" applyAlignment="1">
      <alignment horizontal="left"/>
    </xf>
    <xf numFmtId="3" fontId="7" fillId="6" borderId="1" xfId="0" applyNumberFormat="1" applyFont="1" applyFill="1" applyBorder="1" applyAlignment="1">
      <alignment horizontal="right"/>
    </xf>
    <xf numFmtId="0" fontId="7" fillId="6" borderId="1" xfId="0" applyFont="1" applyFill="1" applyBorder="1" applyAlignment="1">
      <alignment horizontal="right"/>
    </xf>
    <xf numFmtId="0" fontId="8" fillId="7" borderId="1" xfId="0" applyFont="1" applyFill="1" applyBorder="1" applyAlignment="1">
      <alignment horizontal="left"/>
    </xf>
    <xf numFmtId="3" fontId="8" fillId="7" borderId="1" xfId="0" applyNumberFormat="1" applyFont="1" applyFill="1" applyBorder="1" applyAlignment="1">
      <alignment horizontal="right"/>
    </xf>
    <xf numFmtId="0" fontId="8" fillId="7" borderId="1" xfId="0" applyFont="1" applyFill="1" applyBorder="1" applyAlignment="1">
      <alignment horizontal="right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lef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12724720110051"/>
          <c:y val="0.10216488067700114"/>
          <c:w val="0.77134357934384945"/>
          <c:h val="0.68161622288088497"/>
        </c:manualLayout>
      </c:layout>
      <c:lineChart>
        <c:grouping val="standard"/>
        <c:varyColors val="1"/>
        <c:ser>
          <c:idx val="0"/>
          <c:order val="0"/>
          <c:tx>
            <c:strRef>
              <c:f>'Monthly Revenue'!$C$3</c:f>
              <c:strCache>
                <c:ptCount val="1"/>
                <c:pt idx="0">
                  <c:v>Revenue (USD)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2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3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4"/>
            <c:marker>
              <c:symbol val="none"/>
            </c:marker>
            <c:bubble3D val="0"/>
            <c:spPr>
              <a:ln w="349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5"/>
            <c:marker>
              <c:symbol val="none"/>
            </c:marker>
            <c:bubble3D val="0"/>
            <c:spPr>
              <a:ln w="3492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6"/>
            <c:marker>
              <c:symbol val="none"/>
            </c:marker>
            <c:bubble3D val="0"/>
            <c:spPr>
              <a:ln w="3492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7"/>
            <c:marker>
              <c:symbol val="none"/>
            </c:marker>
            <c:bubble3D val="0"/>
            <c:spPr>
              <a:ln w="3492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8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lumMod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9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0"/>
            <c:marker>
              <c:symbol val="none"/>
            </c:marker>
            <c:bubble3D val="0"/>
            <c:spPr>
              <a:ln w="34925" cap="rnd">
                <a:solidFill>
                  <a:schemeClr val="accent3">
                    <a:lumMod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1"/>
            <c:marker>
              <c:symbol val="none"/>
            </c:marker>
            <c:bubble3D val="0"/>
            <c:spPr>
              <a:ln w="34925" cap="rnd">
                <a:solidFill>
                  <a:schemeClr val="accent4">
                    <a:lumMod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'Monthly Revenue'!$A$4:$A$25</c:f>
              <c:strCache>
                <c:ptCount val="22"/>
                <c:pt idx="0">
                  <c:v>2016-10</c:v>
                </c:pt>
                <c:pt idx="1">
                  <c:v>2016-12</c:v>
                </c:pt>
                <c:pt idx="2">
                  <c:v>2017-01</c:v>
                </c:pt>
                <c:pt idx="3">
                  <c:v>2017-02</c:v>
                </c:pt>
                <c:pt idx="4">
                  <c:v>2017-03</c:v>
                </c:pt>
                <c:pt idx="5">
                  <c:v>2017-04</c:v>
                </c:pt>
                <c:pt idx="6">
                  <c:v>2017-05</c:v>
                </c:pt>
                <c:pt idx="7">
                  <c:v>2017-06</c:v>
                </c:pt>
                <c:pt idx="8">
                  <c:v>2017-07</c:v>
                </c:pt>
                <c:pt idx="9">
                  <c:v>2017-08</c:v>
                </c:pt>
                <c:pt idx="10">
                  <c:v>2017-09</c:v>
                </c:pt>
                <c:pt idx="11">
                  <c:v>2017-10</c:v>
                </c:pt>
                <c:pt idx="12">
                  <c:v>2017-11</c:v>
                </c:pt>
                <c:pt idx="13">
                  <c:v>2017-12</c:v>
                </c:pt>
                <c:pt idx="14">
                  <c:v>2018-01</c:v>
                </c:pt>
                <c:pt idx="15">
                  <c:v>2018-02</c:v>
                </c:pt>
                <c:pt idx="16">
                  <c:v>2018-03</c:v>
                </c:pt>
                <c:pt idx="17">
                  <c:v>2018-04</c:v>
                </c:pt>
                <c:pt idx="18">
                  <c:v>2018-05</c:v>
                </c:pt>
                <c:pt idx="19">
                  <c:v>2018-06</c:v>
                </c:pt>
                <c:pt idx="20">
                  <c:v>2018-07</c:v>
                </c:pt>
                <c:pt idx="21">
                  <c:v>2018-08</c:v>
                </c:pt>
              </c:strCache>
            </c:strRef>
          </c:cat>
          <c:val>
            <c:numRef>
              <c:f>'Monthly Revenue'!$C$4:$C$25</c:f>
              <c:numCache>
                <c:formatCode>\$#,##0.00</c:formatCode>
                <c:ptCount val="22"/>
                <c:pt idx="0">
                  <c:v>46566.71</c:v>
                </c:pt>
                <c:pt idx="1">
                  <c:v>19.62</c:v>
                </c:pt>
                <c:pt idx="2">
                  <c:v>127545.67</c:v>
                </c:pt>
                <c:pt idx="3">
                  <c:v>271298.65000000002</c:v>
                </c:pt>
                <c:pt idx="4">
                  <c:v>414369.39</c:v>
                </c:pt>
                <c:pt idx="5">
                  <c:v>390952.18</c:v>
                </c:pt>
                <c:pt idx="6">
                  <c:v>567066.73</c:v>
                </c:pt>
                <c:pt idx="7">
                  <c:v>490225.6</c:v>
                </c:pt>
                <c:pt idx="8">
                  <c:v>566403.93000000005</c:v>
                </c:pt>
                <c:pt idx="9">
                  <c:v>646000.61</c:v>
                </c:pt>
                <c:pt idx="10">
                  <c:v>701169.99</c:v>
                </c:pt>
                <c:pt idx="11">
                  <c:v>751140.27</c:v>
                </c:pt>
                <c:pt idx="12">
                  <c:v>1153528.05</c:v>
                </c:pt>
                <c:pt idx="13">
                  <c:v>843199.17</c:v>
                </c:pt>
                <c:pt idx="14">
                  <c:v>1078606.8600000001</c:v>
                </c:pt>
                <c:pt idx="15">
                  <c:v>966510.88</c:v>
                </c:pt>
                <c:pt idx="16">
                  <c:v>1120678</c:v>
                </c:pt>
                <c:pt idx="17">
                  <c:v>1132933.95</c:v>
                </c:pt>
                <c:pt idx="18">
                  <c:v>1128836.69</c:v>
                </c:pt>
                <c:pt idx="19">
                  <c:v>1012090.68</c:v>
                </c:pt>
                <c:pt idx="20">
                  <c:v>1027903.86</c:v>
                </c:pt>
                <c:pt idx="21">
                  <c:v>985414.28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1A-4CF4-A8EB-4C5BFF6E64F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(USD)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'Top Categories'!$C$3</c:f>
              <c:strCache>
                <c:ptCount val="1"/>
                <c:pt idx="0">
                  <c:v>Total Revenue (USD)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Categories'!$A$4:$A$13</c:f>
              <c:strCache>
                <c:ptCount val="10"/>
                <c:pt idx="0">
                  <c:v>Health &amp; Beauty</c:v>
                </c:pt>
                <c:pt idx="1">
                  <c:v>Watches &amp; Gifts</c:v>
                </c:pt>
                <c:pt idx="2">
                  <c:v>Bed Bath &amp; Table</c:v>
                </c:pt>
                <c:pt idx="3">
                  <c:v>Sports &amp; Leisure</c:v>
                </c:pt>
                <c:pt idx="4">
                  <c:v>Computers &amp; Accessories</c:v>
                </c:pt>
                <c:pt idx="5">
                  <c:v>Furniture &amp; Decor</c:v>
                </c:pt>
                <c:pt idx="6">
                  <c:v>Garden Tools</c:v>
                </c:pt>
                <c:pt idx="7">
                  <c:v>Auto</c:v>
                </c:pt>
                <c:pt idx="8">
                  <c:v>Cool Stuff</c:v>
                </c:pt>
                <c:pt idx="9">
                  <c:v>Housewares</c:v>
                </c:pt>
              </c:strCache>
            </c:strRef>
          </c:cat>
          <c:val>
            <c:numRef>
              <c:f>'Top Categories'!$C$4:$C$13</c:f>
              <c:numCache>
                <c:formatCode>\$#,##0.00</c:formatCode>
                <c:ptCount val="10"/>
                <c:pt idx="0">
                  <c:v>1274942.45</c:v>
                </c:pt>
                <c:pt idx="1">
                  <c:v>1203020.75</c:v>
                </c:pt>
                <c:pt idx="2">
                  <c:v>1036568.12</c:v>
                </c:pt>
                <c:pt idx="3">
                  <c:v>988882.13</c:v>
                </c:pt>
                <c:pt idx="4">
                  <c:v>911571.21</c:v>
                </c:pt>
                <c:pt idx="5">
                  <c:v>893545.67</c:v>
                </c:pt>
                <c:pt idx="6">
                  <c:v>843452.34</c:v>
                </c:pt>
                <c:pt idx="7">
                  <c:v>812034.56000000006</c:v>
                </c:pt>
                <c:pt idx="8">
                  <c:v>756234.89</c:v>
                </c:pt>
                <c:pt idx="9">
                  <c:v>723456.78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5-4042-8CE8-88C0DFAF6F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(USD)</a:t>
                </a:r>
              </a:p>
            </c:rich>
          </c:tx>
          <c:layout>
            <c:manualLayout>
              <c:xMode val="edge"/>
              <c:yMode val="edge"/>
              <c:x val="1.7979223096534696E-2"/>
              <c:y val="0.3469646411159496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layout>
            <c:manualLayout>
              <c:xMode val="edge"/>
              <c:yMode val="edge"/>
              <c:x val="0.56511090703198552"/>
              <c:y val="0.95754238900863009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Customer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'Churn Analysis'!$A$4:$A$5</c:f>
              <c:strCache>
                <c:ptCount val="2"/>
                <c:pt idx="0">
                  <c:v>One-time Buyer</c:v>
                </c:pt>
                <c:pt idx="1">
                  <c:v>Repeat Buyer</c:v>
                </c:pt>
              </c:strCache>
            </c:strRef>
          </c:cat>
          <c:val>
            <c:numRef>
              <c:f>'Churn Analysis'!$B$4:$B$5</c:f>
              <c:numCache>
                <c:formatCode>#,##0</c:formatCode>
                <c:ptCount val="2"/>
                <c:pt idx="0">
                  <c:v>93679</c:v>
                </c:pt>
                <c:pt idx="1">
                  <c:v>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3-4044-B380-5386530607F8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'Payment Methods'!$C$3</c:f>
              <c:strCache>
                <c:ptCount val="1"/>
                <c:pt idx="0">
                  <c:v>Total Revenue (USD)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'Payment Methods'!$A$4:$A$7</c:f>
              <c:strCache>
                <c:ptCount val="4"/>
                <c:pt idx="0">
                  <c:v>Credit Card</c:v>
                </c:pt>
                <c:pt idx="1">
                  <c:v>Boleto</c:v>
                </c:pt>
                <c:pt idx="2">
                  <c:v>Voucher</c:v>
                </c:pt>
                <c:pt idx="3">
                  <c:v>Debit Card</c:v>
                </c:pt>
              </c:strCache>
            </c:strRef>
          </c:cat>
          <c:val>
            <c:numRef>
              <c:f>'Payment Methods'!$C$4:$C$7</c:f>
              <c:numCache>
                <c:formatCode>\$#,##0.00</c:formatCode>
                <c:ptCount val="4"/>
                <c:pt idx="0">
                  <c:v>12541954.09</c:v>
                </c:pt>
                <c:pt idx="1">
                  <c:v>2869361.15</c:v>
                </c:pt>
                <c:pt idx="2">
                  <c:v>379436.87</c:v>
                </c:pt>
                <c:pt idx="3">
                  <c:v>217989.79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D-4FB5-A1BD-733FAC9D6C4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16360728021056"/>
          <c:y val="4.8888888888888891E-2"/>
          <c:w val="0.58379089774409121"/>
          <c:h val="0.90222222222222226"/>
        </c:manualLayout>
      </c:layout>
      <c:pieChart>
        <c:varyColors val="1"/>
        <c:ser>
          <c:idx val="0"/>
          <c:order val="0"/>
          <c:tx>
            <c:strRef>
              <c:f>'Delivery Performance'!$B$3</c:f>
              <c:strCache>
                <c:ptCount val="1"/>
                <c:pt idx="0">
                  <c:v>Total 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'Delivery Performance'!$A$4:$A$5</c:f>
              <c:strCache>
                <c:ptCount val="2"/>
                <c:pt idx="0">
                  <c:v>On Time</c:v>
                </c:pt>
                <c:pt idx="1">
                  <c:v>Late</c:v>
                </c:pt>
              </c:strCache>
            </c:strRef>
          </c:cat>
          <c:val>
            <c:numRef>
              <c:f>'Delivery Performance'!$B$4:$B$5</c:f>
              <c:numCache>
                <c:formatCode>#,##0</c:formatCode>
                <c:ptCount val="2"/>
                <c:pt idx="0">
                  <c:v>88649</c:v>
                </c:pt>
                <c:pt idx="1">
                  <c:v>7828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1-4A5D-94D3-154682BF350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70071" cy="4014107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7202</xdr:colOff>
      <xdr:row>0</xdr:row>
      <xdr:rowOff>380999</xdr:rowOff>
    </xdr:from>
    <xdr:ext cx="7063709" cy="4482353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3965863" cy="261504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3792682" cy="3065318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472109</xdr:colOff>
      <xdr:row>1</xdr:row>
      <xdr:rowOff>0</xdr:rowOff>
    </xdr:from>
    <xdr:ext cx="4416136" cy="28575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0" sqref="E10"/>
    </sheetView>
  </sheetViews>
  <sheetFormatPr defaultRowHeight="15" x14ac:dyDescent="0.25"/>
  <cols>
    <col min="1" max="2" width="22" customWidth="1"/>
  </cols>
  <sheetData>
    <row r="1" spans="1:5" ht="30" customHeight="1" x14ac:dyDescent="0.25">
      <c r="A1" s="33" t="s">
        <v>0</v>
      </c>
      <c r="B1" s="33"/>
      <c r="C1" s="33"/>
      <c r="D1" s="33"/>
      <c r="E1" s="33"/>
    </row>
    <row r="2" spans="1:5" ht="6" customHeight="1" x14ac:dyDescent="0.25"/>
    <row r="3" spans="1:5" ht="20.100000000000001" customHeight="1" x14ac:dyDescent="0.25">
      <c r="A3" s="1" t="s">
        <v>1</v>
      </c>
      <c r="B3" s="1" t="s">
        <v>2</v>
      </c>
    </row>
    <row r="4" spans="1:5" x14ac:dyDescent="0.25">
      <c r="A4" s="2" t="s">
        <v>3</v>
      </c>
      <c r="B4" s="3">
        <v>96477</v>
      </c>
    </row>
    <row r="5" spans="1:5" x14ac:dyDescent="0.25">
      <c r="A5" s="4" t="s">
        <v>4</v>
      </c>
      <c r="B5" s="5">
        <v>96477</v>
      </c>
    </row>
    <row r="6" spans="1:5" x14ac:dyDescent="0.25">
      <c r="A6" s="2" t="s">
        <v>5</v>
      </c>
      <c r="B6" s="6">
        <v>15422461.77</v>
      </c>
    </row>
    <row r="7" spans="1:5" x14ac:dyDescent="0.25">
      <c r="A7" s="4" t="s">
        <v>6</v>
      </c>
      <c r="B7" s="7">
        <v>153.07</v>
      </c>
    </row>
    <row r="8" spans="1:5" x14ac:dyDescent="0.25">
      <c r="A8" s="2" t="s">
        <v>7</v>
      </c>
      <c r="B8" s="8" t="s">
        <v>8</v>
      </c>
    </row>
    <row r="9" spans="1:5" x14ac:dyDescent="0.25">
      <c r="A9" s="4" t="s">
        <v>9</v>
      </c>
      <c r="B9" s="9" t="s">
        <v>10</v>
      </c>
    </row>
    <row r="10" spans="1:5" x14ac:dyDescent="0.25">
      <c r="A10" s="2" t="s">
        <v>11</v>
      </c>
      <c r="B10" s="8" t="s">
        <v>12</v>
      </c>
    </row>
    <row r="11" spans="1:5" x14ac:dyDescent="0.25">
      <c r="A11" s="4" t="s">
        <v>13</v>
      </c>
      <c r="B11" s="9" t="s">
        <v>14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zoomScale="85" zoomScaleNormal="85" workbookViewId="0">
      <selection activeCell="P14" sqref="P14"/>
    </sheetView>
  </sheetViews>
  <sheetFormatPr defaultRowHeight="15" x14ac:dyDescent="0.25"/>
  <cols>
    <col min="1" max="1" width="14" customWidth="1"/>
    <col min="2" max="2" width="15.7109375" bestFit="1" customWidth="1"/>
    <col min="3" max="3" width="19.42578125" bestFit="1" customWidth="1"/>
  </cols>
  <sheetData>
    <row r="1" spans="1:15" ht="30" customHeight="1" x14ac:dyDescent="0.25">
      <c r="A1" s="32" t="s">
        <v>15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6" customHeight="1" x14ac:dyDescent="0.25"/>
    <row r="3" spans="1:15" ht="20.100000000000001" customHeight="1" x14ac:dyDescent="0.25">
      <c r="A3" s="1" t="s">
        <v>16</v>
      </c>
      <c r="B3" s="1" t="s">
        <v>17</v>
      </c>
      <c r="C3" s="1" t="s">
        <v>18</v>
      </c>
    </row>
    <row r="4" spans="1:15" x14ac:dyDescent="0.25">
      <c r="A4" s="10" t="s">
        <v>19</v>
      </c>
      <c r="B4" s="11">
        <v>265</v>
      </c>
      <c r="C4" s="12">
        <v>46566.71</v>
      </c>
    </row>
    <row r="5" spans="1:15" x14ac:dyDescent="0.25">
      <c r="A5" s="13" t="s">
        <v>20</v>
      </c>
      <c r="B5" s="14">
        <v>1</v>
      </c>
      <c r="C5" s="15">
        <v>19.62</v>
      </c>
    </row>
    <row r="6" spans="1:15" x14ac:dyDescent="0.25">
      <c r="A6" s="10" t="s">
        <v>21</v>
      </c>
      <c r="B6" s="11">
        <v>750</v>
      </c>
      <c r="C6" s="12">
        <v>127545.67</v>
      </c>
    </row>
    <row r="7" spans="1:15" x14ac:dyDescent="0.25">
      <c r="A7" s="13" t="s">
        <v>22</v>
      </c>
      <c r="B7" s="14">
        <v>1653</v>
      </c>
      <c r="C7" s="15">
        <v>271298.65000000002</v>
      </c>
    </row>
    <row r="8" spans="1:15" x14ac:dyDescent="0.25">
      <c r="A8" s="10" t="s">
        <v>23</v>
      </c>
      <c r="B8" s="11">
        <v>2546</v>
      </c>
      <c r="C8" s="12">
        <v>414369.39</v>
      </c>
    </row>
    <row r="9" spans="1:15" x14ac:dyDescent="0.25">
      <c r="A9" s="13" t="s">
        <v>24</v>
      </c>
      <c r="B9" s="14">
        <v>2303</v>
      </c>
      <c r="C9" s="15">
        <v>390952.18</v>
      </c>
    </row>
    <row r="10" spans="1:15" x14ac:dyDescent="0.25">
      <c r="A10" s="10" t="s">
        <v>25</v>
      </c>
      <c r="B10" s="11">
        <v>3546</v>
      </c>
      <c r="C10" s="12">
        <v>567066.73</v>
      </c>
    </row>
    <row r="11" spans="1:15" x14ac:dyDescent="0.25">
      <c r="A11" s="13" t="s">
        <v>26</v>
      </c>
      <c r="B11" s="14">
        <v>3135</v>
      </c>
      <c r="C11" s="15">
        <v>490225.6</v>
      </c>
    </row>
    <row r="12" spans="1:15" x14ac:dyDescent="0.25">
      <c r="A12" s="10" t="s">
        <v>27</v>
      </c>
      <c r="B12" s="11">
        <v>3872</v>
      </c>
      <c r="C12" s="12">
        <v>566403.93000000005</v>
      </c>
    </row>
    <row r="13" spans="1:15" x14ac:dyDescent="0.25">
      <c r="A13" s="13" t="s">
        <v>28</v>
      </c>
      <c r="B13" s="14">
        <v>4193</v>
      </c>
      <c r="C13" s="15">
        <v>646000.61</v>
      </c>
    </row>
    <row r="14" spans="1:15" x14ac:dyDescent="0.25">
      <c r="A14" s="10" t="s">
        <v>29</v>
      </c>
      <c r="B14" s="11">
        <v>4150</v>
      </c>
      <c r="C14" s="12">
        <v>701169.99</v>
      </c>
    </row>
    <row r="15" spans="1:15" x14ac:dyDescent="0.25">
      <c r="A15" s="13" t="s">
        <v>30</v>
      </c>
      <c r="B15" s="14">
        <v>4478</v>
      </c>
      <c r="C15" s="15">
        <v>751140.27</v>
      </c>
    </row>
    <row r="16" spans="1:15" x14ac:dyDescent="0.25">
      <c r="A16" s="16" t="s">
        <v>31</v>
      </c>
      <c r="B16" s="17">
        <v>7289</v>
      </c>
      <c r="C16" s="18">
        <v>1153528.05</v>
      </c>
    </row>
    <row r="17" spans="1:3" x14ac:dyDescent="0.25">
      <c r="A17" s="13" t="s">
        <v>32</v>
      </c>
      <c r="B17" s="14">
        <v>5513</v>
      </c>
      <c r="C17" s="15">
        <v>843199.17</v>
      </c>
    </row>
    <row r="18" spans="1:3" x14ac:dyDescent="0.25">
      <c r="A18" s="10" t="s">
        <v>33</v>
      </c>
      <c r="B18" s="11">
        <v>7069</v>
      </c>
      <c r="C18" s="12">
        <v>1078606.8600000001</v>
      </c>
    </row>
    <row r="19" spans="1:3" x14ac:dyDescent="0.25">
      <c r="A19" s="13" t="s">
        <v>34</v>
      </c>
      <c r="B19" s="14">
        <v>6555</v>
      </c>
      <c r="C19" s="15">
        <v>966510.88</v>
      </c>
    </row>
    <row r="20" spans="1:3" x14ac:dyDescent="0.25">
      <c r="A20" s="10" t="s">
        <v>35</v>
      </c>
      <c r="B20" s="11">
        <v>7003</v>
      </c>
      <c r="C20" s="12">
        <v>1120678</v>
      </c>
    </row>
    <row r="21" spans="1:3" x14ac:dyDescent="0.25">
      <c r="A21" s="13" t="s">
        <v>36</v>
      </c>
      <c r="B21" s="14">
        <v>6798</v>
      </c>
      <c r="C21" s="15">
        <v>1132933.95</v>
      </c>
    </row>
    <row r="22" spans="1:3" x14ac:dyDescent="0.25">
      <c r="A22" s="10" t="s">
        <v>37</v>
      </c>
      <c r="B22" s="11">
        <v>6749</v>
      </c>
      <c r="C22" s="12">
        <v>1128836.69</v>
      </c>
    </row>
    <row r="23" spans="1:3" x14ac:dyDescent="0.25">
      <c r="A23" s="13" t="s">
        <v>38</v>
      </c>
      <c r="B23" s="14">
        <v>6099</v>
      </c>
      <c r="C23" s="15">
        <v>1012090.68</v>
      </c>
    </row>
    <row r="24" spans="1:3" x14ac:dyDescent="0.25">
      <c r="A24" s="10" t="s">
        <v>39</v>
      </c>
      <c r="B24" s="11">
        <v>6159</v>
      </c>
      <c r="C24" s="12">
        <v>1027903.86</v>
      </c>
    </row>
    <row r="25" spans="1:3" x14ac:dyDescent="0.25">
      <c r="A25" s="13" t="s">
        <v>40</v>
      </c>
      <c r="B25" s="14">
        <v>6351</v>
      </c>
      <c r="C25" s="15">
        <v>985414.28</v>
      </c>
    </row>
    <row r="28" spans="1:3" x14ac:dyDescent="0.25">
      <c r="A28" s="30" t="s">
        <v>41</v>
      </c>
      <c r="B28" s="29"/>
      <c r="C28" s="29"/>
    </row>
    <row r="29" spans="1:3" x14ac:dyDescent="0.25">
      <c r="A29" s="19" t="s">
        <v>42</v>
      </c>
      <c r="B29" s="20" t="s">
        <v>43</v>
      </c>
      <c r="C29" s="19" t="s">
        <v>44</v>
      </c>
    </row>
    <row r="30" spans="1:3" x14ac:dyDescent="0.25">
      <c r="A30" s="19" t="s">
        <v>5</v>
      </c>
      <c r="B30" s="20" t="s">
        <v>45</v>
      </c>
      <c r="C30" s="19" t="s">
        <v>46</v>
      </c>
    </row>
    <row r="31" spans="1:3" x14ac:dyDescent="0.25">
      <c r="A31" s="19" t="s">
        <v>47</v>
      </c>
      <c r="B31" s="20" t="s">
        <v>48</v>
      </c>
      <c r="C31" s="19" t="s">
        <v>49</v>
      </c>
    </row>
  </sheetData>
  <mergeCells count="2">
    <mergeCell ref="A28:C28"/>
    <mergeCell ref="A1:O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zoomScale="85" zoomScaleNormal="85" workbookViewId="0">
      <selection activeCell="A12" sqref="A12"/>
    </sheetView>
  </sheetViews>
  <sheetFormatPr defaultRowHeight="15" x14ac:dyDescent="0.25"/>
  <cols>
    <col min="1" max="1" width="26" customWidth="1"/>
    <col min="2" max="2" width="19.140625" bestFit="1" customWidth="1"/>
    <col min="3" max="3" width="22" customWidth="1"/>
    <col min="4" max="4" width="20" customWidth="1"/>
  </cols>
  <sheetData>
    <row r="1" spans="1:4" ht="30" customHeight="1" x14ac:dyDescent="0.25">
      <c r="A1" s="28" t="s">
        <v>50</v>
      </c>
      <c r="B1" s="29"/>
      <c r="C1" s="29"/>
      <c r="D1" s="29"/>
    </row>
    <row r="2" spans="1:4" ht="6" customHeight="1" x14ac:dyDescent="0.25"/>
    <row r="3" spans="1:4" ht="20.100000000000001" customHeight="1" x14ac:dyDescent="0.25">
      <c r="A3" s="1" t="s">
        <v>51</v>
      </c>
      <c r="B3" s="1" t="s">
        <v>3</v>
      </c>
      <c r="C3" s="1" t="s">
        <v>52</v>
      </c>
      <c r="D3" s="1" t="s">
        <v>53</v>
      </c>
    </row>
    <row r="4" spans="1:4" x14ac:dyDescent="0.25">
      <c r="A4" s="10" t="s">
        <v>14</v>
      </c>
      <c r="B4" s="11">
        <v>9670</v>
      </c>
      <c r="C4" s="12">
        <v>1274942.45</v>
      </c>
      <c r="D4" s="12">
        <v>131.84</v>
      </c>
    </row>
    <row r="5" spans="1:4" x14ac:dyDescent="0.25">
      <c r="A5" s="13" t="s">
        <v>54</v>
      </c>
      <c r="B5" s="14">
        <v>5991</v>
      </c>
      <c r="C5" s="15">
        <v>1203020.75</v>
      </c>
      <c r="D5" s="15">
        <v>200.84</v>
      </c>
    </row>
    <row r="6" spans="1:4" x14ac:dyDescent="0.25">
      <c r="A6" s="10" t="s">
        <v>55</v>
      </c>
      <c r="B6" s="11">
        <v>11115</v>
      </c>
      <c r="C6" s="12">
        <v>1036568.12</v>
      </c>
      <c r="D6" s="12">
        <v>93.26</v>
      </c>
    </row>
    <row r="7" spans="1:4" x14ac:dyDescent="0.25">
      <c r="A7" s="13" t="s">
        <v>56</v>
      </c>
      <c r="B7" s="14">
        <v>8641</v>
      </c>
      <c r="C7" s="15">
        <v>988882.13</v>
      </c>
      <c r="D7" s="15">
        <v>114.44</v>
      </c>
    </row>
    <row r="8" spans="1:4" x14ac:dyDescent="0.25">
      <c r="A8" s="10" t="s">
        <v>57</v>
      </c>
      <c r="B8" s="11">
        <v>7827</v>
      </c>
      <c r="C8" s="12">
        <v>911571.21</v>
      </c>
      <c r="D8" s="12">
        <v>116.48</v>
      </c>
    </row>
    <row r="9" spans="1:4" x14ac:dyDescent="0.25">
      <c r="A9" s="13" t="s">
        <v>58</v>
      </c>
      <c r="B9" s="14">
        <v>8334</v>
      </c>
      <c r="C9" s="15">
        <v>893545.67</v>
      </c>
      <c r="D9" s="15">
        <v>107.21</v>
      </c>
    </row>
    <row r="10" spans="1:4" x14ac:dyDescent="0.25">
      <c r="A10" s="10" t="s">
        <v>59</v>
      </c>
      <c r="B10" s="11">
        <v>4347</v>
      </c>
      <c r="C10" s="12">
        <v>843452.34</v>
      </c>
      <c r="D10" s="12">
        <v>194.05</v>
      </c>
    </row>
    <row r="11" spans="1:4" x14ac:dyDescent="0.25">
      <c r="A11" s="13" t="s">
        <v>60</v>
      </c>
      <c r="B11" s="14">
        <v>4950</v>
      </c>
      <c r="C11" s="15">
        <v>812034.56000000006</v>
      </c>
      <c r="D11" s="15">
        <v>164.05</v>
      </c>
    </row>
    <row r="12" spans="1:4" x14ac:dyDescent="0.25">
      <c r="A12" s="10" t="s">
        <v>61</v>
      </c>
      <c r="B12" s="11">
        <v>3796</v>
      </c>
      <c r="C12" s="12">
        <v>756234.89</v>
      </c>
      <c r="D12" s="12">
        <v>199.22</v>
      </c>
    </row>
    <row r="13" spans="1:4" x14ac:dyDescent="0.25">
      <c r="A13" s="13" t="s">
        <v>62</v>
      </c>
      <c r="B13" s="14">
        <v>6964</v>
      </c>
      <c r="C13" s="15">
        <v>723456.78</v>
      </c>
      <c r="D13" s="15">
        <v>103.88</v>
      </c>
    </row>
    <row r="16" spans="1:4" x14ac:dyDescent="0.25">
      <c r="A16" s="30" t="s">
        <v>41</v>
      </c>
      <c r="B16" s="29"/>
      <c r="C16" s="29"/>
      <c r="D16" s="29"/>
    </row>
    <row r="17" spans="1:4" x14ac:dyDescent="0.25">
      <c r="A17" s="19" t="s">
        <v>13</v>
      </c>
      <c r="B17" s="20" t="s">
        <v>14</v>
      </c>
      <c r="C17" s="19" t="s">
        <v>63</v>
      </c>
      <c r="D17" s="21"/>
    </row>
    <row r="18" spans="1:4" x14ac:dyDescent="0.25">
      <c r="A18" s="19" t="s">
        <v>64</v>
      </c>
      <c r="B18" s="20" t="s">
        <v>54</v>
      </c>
      <c r="C18" s="19" t="s">
        <v>65</v>
      </c>
      <c r="D18" s="21"/>
    </row>
    <row r="19" spans="1:4" x14ac:dyDescent="0.25">
      <c r="A19" s="19" t="s">
        <v>66</v>
      </c>
      <c r="B19" s="20" t="s">
        <v>55</v>
      </c>
      <c r="C19" s="19" t="s">
        <v>67</v>
      </c>
      <c r="D19" s="21"/>
    </row>
  </sheetData>
  <mergeCells count="2">
    <mergeCell ref="A1:D1"/>
    <mergeCell ref="A16:D16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zoomScale="115" zoomScaleNormal="115" workbookViewId="0">
      <selection activeCell="J17" sqref="J17"/>
    </sheetView>
  </sheetViews>
  <sheetFormatPr defaultRowHeight="15" x14ac:dyDescent="0.25"/>
  <cols>
    <col min="1" max="1" width="22" customWidth="1"/>
    <col min="2" max="2" width="18" customWidth="1"/>
    <col min="3" max="3" width="16" customWidth="1"/>
  </cols>
  <sheetData>
    <row r="1" spans="1:3" ht="30" customHeight="1" x14ac:dyDescent="0.25">
      <c r="A1" s="28" t="s">
        <v>68</v>
      </c>
      <c r="B1" s="29"/>
      <c r="C1" s="29"/>
    </row>
    <row r="2" spans="1:3" ht="6" customHeight="1" x14ac:dyDescent="0.25"/>
    <row r="3" spans="1:3" ht="20.100000000000001" customHeight="1" x14ac:dyDescent="0.25">
      <c r="A3" s="1" t="s">
        <v>69</v>
      </c>
      <c r="B3" s="1" t="s">
        <v>70</v>
      </c>
      <c r="C3" s="1" t="s">
        <v>71</v>
      </c>
    </row>
    <row r="4" spans="1:3" x14ac:dyDescent="0.25">
      <c r="A4" s="22" t="s">
        <v>72</v>
      </c>
      <c r="B4" s="23">
        <v>93679</v>
      </c>
      <c r="C4" s="24" t="s">
        <v>73</v>
      </c>
    </row>
    <row r="5" spans="1:3" x14ac:dyDescent="0.25">
      <c r="A5" s="25" t="s">
        <v>74</v>
      </c>
      <c r="B5" s="26">
        <v>2798</v>
      </c>
      <c r="C5" s="27" t="s">
        <v>75</v>
      </c>
    </row>
    <row r="8" spans="1:3" x14ac:dyDescent="0.25">
      <c r="A8" s="30" t="s">
        <v>41</v>
      </c>
      <c r="B8" s="29"/>
      <c r="C8" s="29"/>
    </row>
    <row r="9" spans="1:3" x14ac:dyDescent="0.25">
      <c r="A9" s="19" t="s">
        <v>7</v>
      </c>
      <c r="B9" s="20" t="s">
        <v>73</v>
      </c>
      <c r="C9" s="19" t="s">
        <v>76</v>
      </c>
    </row>
    <row r="10" spans="1:3" x14ac:dyDescent="0.25">
      <c r="A10" s="19" t="s">
        <v>77</v>
      </c>
      <c r="B10" s="20" t="s">
        <v>75</v>
      </c>
      <c r="C10" s="19" t="s">
        <v>78</v>
      </c>
    </row>
    <row r="11" spans="1:3" x14ac:dyDescent="0.25">
      <c r="A11" s="19" t="s">
        <v>79</v>
      </c>
      <c r="B11" s="20" t="s">
        <v>80</v>
      </c>
      <c r="C11" s="19" t="s">
        <v>81</v>
      </c>
    </row>
  </sheetData>
  <mergeCells count="2">
    <mergeCell ref="A1:C1"/>
    <mergeCell ref="A8:C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Normal="100" workbookViewId="0">
      <selection activeCell="K22" sqref="K22"/>
    </sheetView>
  </sheetViews>
  <sheetFormatPr defaultRowHeight="15" x14ac:dyDescent="0.25"/>
  <cols>
    <col min="1" max="1" width="18" customWidth="1"/>
    <col min="2" max="2" width="14" customWidth="1"/>
    <col min="3" max="3" width="22" customWidth="1"/>
    <col min="4" max="4" width="24" customWidth="1"/>
  </cols>
  <sheetData>
    <row r="1" spans="1:4" ht="30" customHeight="1" x14ac:dyDescent="0.25">
      <c r="A1" s="28" t="s">
        <v>82</v>
      </c>
      <c r="B1" s="29"/>
      <c r="C1" s="29"/>
      <c r="D1" s="29"/>
    </row>
    <row r="2" spans="1:4" ht="6" customHeight="1" x14ac:dyDescent="0.25"/>
    <row r="3" spans="1:4" ht="20.100000000000001" customHeight="1" x14ac:dyDescent="0.25">
      <c r="A3" s="1" t="s">
        <v>83</v>
      </c>
      <c r="B3" s="1" t="s">
        <v>84</v>
      </c>
      <c r="C3" s="1" t="s">
        <v>52</v>
      </c>
      <c r="D3" s="1" t="s">
        <v>85</v>
      </c>
    </row>
    <row r="4" spans="1:4" x14ac:dyDescent="0.25">
      <c r="A4" s="10" t="s">
        <v>86</v>
      </c>
      <c r="B4" s="11">
        <v>76795</v>
      </c>
      <c r="C4" s="12">
        <v>12541954.09</v>
      </c>
      <c r="D4" s="12">
        <v>163.31</v>
      </c>
    </row>
    <row r="5" spans="1:4" x14ac:dyDescent="0.25">
      <c r="A5" s="13" t="s">
        <v>87</v>
      </c>
      <c r="B5" s="14">
        <v>19784</v>
      </c>
      <c r="C5" s="15">
        <v>2869361.15</v>
      </c>
      <c r="D5" s="15">
        <v>145.04</v>
      </c>
    </row>
    <row r="6" spans="1:4" x14ac:dyDescent="0.25">
      <c r="A6" s="10" t="s">
        <v>88</v>
      </c>
      <c r="B6" s="11">
        <v>5775</v>
      </c>
      <c r="C6" s="12">
        <v>379436.87</v>
      </c>
      <c r="D6" s="12">
        <v>65.72</v>
      </c>
    </row>
    <row r="7" spans="1:4" x14ac:dyDescent="0.25">
      <c r="A7" s="13" t="s">
        <v>89</v>
      </c>
      <c r="B7" s="14">
        <v>1529</v>
      </c>
      <c r="C7" s="15">
        <v>217989.79</v>
      </c>
      <c r="D7" s="15">
        <v>142.57</v>
      </c>
    </row>
    <row r="10" spans="1:4" x14ac:dyDescent="0.25">
      <c r="A10" s="30" t="s">
        <v>41</v>
      </c>
      <c r="B10" s="29"/>
      <c r="C10" s="29"/>
      <c r="D10" s="29"/>
    </row>
    <row r="11" spans="1:4" x14ac:dyDescent="0.25">
      <c r="A11" s="19" t="s">
        <v>90</v>
      </c>
      <c r="B11" s="20" t="s">
        <v>86</v>
      </c>
      <c r="C11" s="19" t="s">
        <v>91</v>
      </c>
      <c r="D11" s="21"/>
    </row>
    <row r="12" spans="1:4" x14ac:dyDescent="0.25">
      <c r="A12" s="19" t="s">
        <v>92</v>
      </c>
      <c r="B12" s="20" t="s">
        <v>93</v>
      </c>
      <c r="C12" s="19" t="s">
        <v>94</v>
      </c>
      <c r="D12" s="21"/>
    </row>
    <row r="13" spans="1:4" x14ac:dyDescent="0.25">
      <c r="A13" s="19" t="s">
        <v>95</v>
      </c>
      <c r="B13" s="20" t="s">
        <v>88</v>
      </c>
      <c r="C13" s="19" t="s">
        <v>96</v>
      </c>
      <c r="D13" s="21"/>
    </row>
  </sheetData>
  <mergeCells count="2">
    <mergeCell ref="A1:D1"/>
    <mergeCell ref="A10:D10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115" zoomScaleNormal="115" workbookViewId="0">
      <selection activeCell="D5" sqref="D5"/>
    </sheetView>
  </sheetViews>
  <sheetFormatPr defaultRowHeight="15" x14ac:dyDescent="0.25"/>
  <cols>
    <col min="1" max="1" width="20" customWidth="1"/>
    <col min="2" max="2" width="16" customWidth="1"/>
    <col min="3" max="3" width="27.28515625" bestFit="1" customWidth="1"/>
  </cols>
  <sheetData>
    <row r="1" spans="1:7" ht="30" customHeight="1" x14ac:dyDescent="0.25">
      <c r="A1" s="31" t="s">
        <v>97</v>
      </c>
      <c r="B1" s="31"/>
      <c r="C1" s="31"/>
      <c r="D1" s="31"/>
      <c r="E1" s="31"/>
      <c r="F1" s="31"/>
      <c r="G1" s="31"/>
    </row>
    <row r="2" spans="1:7" ht="6" customHeight="1" x14ac:dyDescent="0.25"/>
    <row r="3" spans="1:7" ht="20.100000000000001" customHeight="1" x14ac:dyDescent="0.25">
      <c r="A3" s="1" t="s">
        <v>98</v>
      </c>
      <c r="B3" s="1" t="s">
        <v>3</v>
      </c>
      <c r="C3" s="1" t="s">
        <v>71</v>
      </c>
    </row>
    <row r="4" spans="1:7" x14ac:dyDescent="0.25">
      <c r="A4" s="25" t="s">
        <v>99</v>
      </c>
      <c r="B4" s="26">
        <v>88649</v>
      </c>
      <c r="C4" s="27" t="s">
        <v>100</v>
      </c>
    </row>
    <row r="5" spans="1:7" x14ac:dyDescent="0.25">
      <c r="A5" s="22" t="s">
        <v>101</v>
      </c>
      <c r="B5" s="23">
        <v>7828</v>
      </c>
      <c r="C5" s="24" t="s">
        <v>102</v>
      </c>
    </row>
    <row r="8" spans="1:7" x14ac:dyDescent="0.25">
      <c r="A8" s="30" t="s">
        <v>41</v>
      </c>
      <c r="B8" s="29"/>
      <c r="C8" s="29"/>
    </row>
    <row r="9" spans="1:7" x14ac:dyDescent="0.25">
      <c r="A9" s="19" t="s">
        <v>103</v>
      </c>
      <c r="B9" s="20" t="s">
        <v>100</v>
      </c>
      <c r="C9" s="19" t="s">
        <v>104</v>
      </c>
    </row>
    <row r="10" spans="1:7" x14ac:dyDescent="0.25">
      <c r="A10" s="19" t="s">
        <v>105</v>
      </c>
      <c r="B10" s="20" t="s">
        <v>102</v>
      </c>
      <c r="C10" s="19" t="s">
        <v>106</v>
      </c>
    </row>
    <row r="11" spans="1:7" x14ac:dyDescent="0.25">
      <c r="A11" s="19" t="s">
        <v>79</v>
      </c>
      <c r="B11" s="20" t="s">
        <v>107</v>
      </c>
      <c r="C11" s="19" t="s">
        <v>108</v>
      </c>
    </row>
  </sheetData>
  <mergeCells count="2">
    <mergeCell ref="A8:C8"/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Monthly Revenue</vt:lpstr>
      <vt:lpstr>Top Categories</vt:lpstr>
      <vt:lpstr>Churn Analysis</vt:lpstr>
      <vt:lpstr>Payment Methods</vt:lpstr>
      <vt:lpstr>Delivery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2026-05-20T10:00:38Z</dcterms:created>
  <dcterms:modified xsi:type="dcterms:W3CDTF">2026-05-20T10:30:34Z</dcterms:modified>
</cp:coreProperties>
</file>